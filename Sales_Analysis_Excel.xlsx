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he_2kmfyut\Desktop\Data analysis project\"/>
    </mc:Choice>
  </mc:AlternateContent>
  <xr:revisionPtr revIDLastSave="0" documentId="13_ncr:1_{53B1A832-78F0-41F7-9278-9962FDF36B0E}" xr6:coauthVersionLast="47" xr6:coauthVersionMax="47" xr10:uidLastSave="{00000000-0000-0000-0000-000000000000}"/>
  <bookViews>
    <workbookView xWindow="-96" yWindow="0" windowWidth="11712" windowHeight="12336" xr2:uid="{0CF9ECA8-7B45-49AD-8AA3-3BAC6CFDAF1C}"/>
  </bookViews>
  <sheets>
    <sheet name="Raw_Data" sheetId="1" r:id="rId1"/>
    <sheet name="Pivot_Product" sheetId="3" r:id="rId2"/>
    <sheet name="Pivot_Region" sheetId="4" r:id="rId3"/>
    <sheet name="Pivot_Month" sheetId="5" r:id="rId4"/>
    <sheet name="Dashboard" sheetId="6" r:id="rId5"/>
    <sheet name="INSIGHTS 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J2" i="1" s="1"/>
  <c r="I7" i="1"/>
  <c r="I8" i="1"/>
  <c r="I9" i="1"/>
  <c r="I10" i="1"/>
  <c r="I11" i="1"/>
  <c r="I12" i="1"/>
</calcChain>
</file>

<file path=xl/sharedStrings.xml><?xml version="1.0" encoding="utf-8"?>
<sst xmlns="http://schemas.openxmlformats.org/spreadsheetml/2006/main" count="87" uniqueCount="50">
  <si>
    <t>Date,Product,Category,Region,Quantity,Unit_Price</t>
  </si>
  <si>
    <t>2024-01-05,Notebook,Electronics,Southeast,2,3500</t>
  </si>
  <si>
    <t>2024-01-08,Mouse,Electronics,South,5,80</t>
  </si>
  <si>
    <t>2024-01-10,Keyboard,Electronics,Southeast,3,150</t>
  </si>
  <si>
    <t>2024-01-15,Chair,Furniture,South,1,900</t>
  </si>
  <si>
    <t>2024-02-02,Desk,Furniture,Southeast,2,1200</t>
  </si>
  <si>
    <t>2024-02-05,Notebook,Electronics,South,1,3500</t>
  </si>
  <si>
    <t>2024-02-10,Monitor,Electronics,Southeast,2,1100</t>
  </si>
  <si>
    <t>2024-02-18,Chair,Furniture,Northeast,3,900</t>
  </si>
  <si>
    <t>2024-03-03,Desk,Furniture,South,1,1200</t>
  </si>
  <si>
    <t>2024-03-07,Mouse,Electronics,Northeast,10,80</t>
  </si>
  <si>
    <t>2024-03-15,Monitor,Electronics,South,1,1100</t>
  </si>
  <si>
    <t>Date</t>
  </si>
  <si>
    <t>Product</t>
  </si>
  <si>
    <t>Notebook</t>
  </si>
  <si>
    <t>Mouse</t>
  </si>
  <si>
    <t>Keyboard</t>
  </si>
  <si>
    <t>Chair</t>
  </si>
  <si>
    <t>Desk</t>
  </si>
  <si>
    <t>Monitor</t>
  </si>
  <si>
    <t>Category</t>
  </si>
  <si>
    <t>Electronics</t>
  </si>
  <si>
    <t>Furniture</t>
  </si>
  <si>
    <t>Region</t>
  </si>
  <si>
    <t>Southeast</t>
  </si>
  <si>
    <t>South</t>
  </si>
  <si>
    <t>Quantity</t>
  </si>
  <si>
    <t>Unit_Price</t>
  </si>
  <si>
    <t>Noteboock</t>
  </si>
  <si>
    <t>Northeats</t>
  </si>
  <si>
    <t>Total_Sales</t>
  </si>
  <si>
    <t>Total_Invoicing</t>
  </si>
  <si>
    <t>Rótulos de Linha</t>
  </si>
  <si>
    <t>Total Geral</t>
  </si>
  <si>
    <t>Soma de Total_Sales</t>
  </si>
  <si>
    <t>jan</t>
  </si>
  <si>
    <t>fev</t>
  </si>
  <si>
    <t>mar</t>
  </si>
  <si>
    <t>2024</t>
  </si>
  <si>
    <t>🔹 Insight 1 — Produto</t>
  </si>
  <si>
    <r>
      <t>Notebooks generate the highest total revenue</t>
    </r>
    <r>
      <rPr>
        <sz val="11"/>
        <color theme="1"/>
        <rFont val="Aptos Narrow"/>
        <family val="2"/>
        <scheme val="minor"/>
      </rPr>
      <t>, representing the largest share of total sales.</t>
    </r>
  </si>
  <si>
    <t>This indicates that high-ticket products, even with lower volume, significantly impact overall revenue.</t>
  </si>
  <si>
    <t>🔹 Insight 2 — Região</t>
  </si>
  <si>
    <r>
      <t>The Southeast region leads in total sales</t>
    </r>
    <r>
      <rPr>
        <sz val="11"/>
        <color theme="1"/>
        <rFont val="Aptos Narrow"/>
        <family val="2"/>
        <scheme val="minor"/>
      </rPr>
      <t>, outperforming other regions.</t>
    </r>
  </si>
  <si>
    <t>This suggests a stronger market presence and higher demand in this region.</t>
  </si>
  <si>
    <t>🔹 Insight 3 — Tendência mensal</t>
  </si>
  <si>
    <r>
      <t>Sales show an upward trend from January to March</t>
    </r>
    <r>
      <rPr>
        <sz val="11"/>
        <color theme="1"/>
        <rFont val="Aptos Narrow"/>
        <family val="2"/>
        <scheme val="minor"/>
      </rPr>
      <t>, driven mainly by electronics products.</t>
    </r>
  </si>
  <si>
    <t>This may indicate seasonal demand growth in the first quarter.</t>
  </si>
  <si>
    <t>🔹 Insight 4 — Categoria</t>
  </si>
  <si>
    <r>
      <t>Electronics outperform Furniture in total revenue</t>
    </r>
    <r>
      <rPr>
        <sz val="11"/>
        <color theme="1"/>
        <rFont val="Aptos Narrow"/>
        <family val="2"/>
        <scheme val="minor"/>
      </rPr>
      <t>, highlighting the importance of focusing on technology-related products.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</si>
</sst>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0" xfId="1" applyFont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[Sales_Analysis_Excel.xlsx]Pivot_Product!Tabela dinâmica13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Total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Pivot_Product!$A$4:$A$11</c:f>
              <c:strCache>
                <c:ptCount val="7"/>
                <c:pt idx="0">
                  <c:v>Keyboard</c:v>
                </c:pt>
                <c:pt idx="1">
                  <c:v>Mouse</c:v>
                </c:pt>
                <c:pt idx="2">
                  <c:v>Monitor</c:v>
                </c:pt>
                <c:pt idx="3">
                  <c:v>Notebook</c:v>
                </c:pt>
                <c:pt idx="4">
                  <c:v>Desk</c:v>
                </c:pt>
                <c:pt idx="5">
                  <c:v>Chair</c:v>
                </c:pt>
                <c:pt idx="6">
                  <c:v>Noteboock</c:v>
                </c:pt>
              </c:strCache>
            </c:strRef>
          </c:cat>
          <c:val>
            <c:numRef>
              <c:f>Pivot_Product!$B$4:$B$11</c:f>
              <c:numCache>
                <c:formatCode>_-[$$-409]* #,##0.00_ ;_-[$$-409]* \-#,##0.00\ ;_-[$$-409]* "-"??_ ;_-@_ </c:formatCode>
                <c:ptCount val="7"/>
                <c:pt idx="0">
                  <c:v>450</c:v>
                </c:pt>
                <c:pt idx="1">
                  <c:v>1200</c:v>
                </c:pt>
                <c:pt idx="2">
                  <c:v>3300</c:v>
                </c:pt>
                <c:pt idx="3">
                  <c:v>3500</c:v>
                </c:pt>
                <c:pt idx="4">
                  <c:v>3600</c:v>
                </c:pt>
                <c:pt idx="5">
                  <c:v>3600</c:v>
                </c:pt>
                <c:pt idx="6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0-44CD-ABF7-128816682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9497648"/>
        <c:axId val="2109498128"/>
        <c:axId val="0"/>
      </c:bar3DChart>
      <c:catAx>
        <c:axId val="21094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9498128"/>
        <c:crosses val="autoZero"/>
        <c:auto val="1"/>
        <c:lblAlgn val="ctr"/>
        <c:lblOffset val="100"/>
        <c:noMultiLvlLbl val="0"/>
      </c:catAx>
      <c:valAx>
        <c:axId val="210949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94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[Sales_Analysis_Excel.xlsx]Pivot_Region!Tabela dinâmica14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Pivot_Region!$A$4:$A$7</c:f>
              <c:strCache>
                <c:ptCount val="3"/>
                <c:pt idx="0">
                  <c:v>Southeast</c:v>
                </c:pt>
                <c:pt idx="1">
                  <c:v>South</c:v>
                </c:pt>
                <c:pt idx="2">
                  <c:v>Northeats</c:v>
                </c:pt>
              </c:strCache>
            </c:strRef>
          </c:cat>
          <c:val>
            <c:numRef>
              <c:f>Pivot_Region!$B$4:$B$7</c:f>
              <c:numCache>
                <c:formatCode>_-[$$-409]* #,##0.00_ ;_-[$$-409]* \-#,##0.00\ ;_-[$$-409]* "-"??_ ;_-@_ </c:formatCode>
                <c:ptCount val="3"/>
                <c:pt idx="0">
                  <c:v>12050</c:v>
                </c:pt>
                <c:pt idx="1">
                  <c:v>7100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F-44D3-B264-8DB837CD9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867056"/>
        <c:axId val="86865136"/>
        <c:axId val="0"/>
      </c:bar3DChart>
      <c:catAx>
        <c:axId val="8686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65136"/>
        <c:crosses val="autoZero"/>
        <c:auto val="1"/>
        <c:lblAlgn val="ctr"/>
        <c:lblOffset val="100"/>
        <c:noMultiLvlLbl val="0"/>
      </c:catAx>
      <c:valAx>
        <c:axId val="868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6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[Sales_Analysis_Excel.xlsx]Pivot_Month!Tabela dinâmica15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Pivot_Month!$A$4:$A$8</c:f>
              <c:multiLvlStrCache>
                <c:ptCount val="3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Pivot_Month!$B$4:$B$8</c:f>
              <c:numCache>
                <c:formatCode>_-[$$-409]* #,##0.00_ ;_-[$$-409]* \-#,##0.00\ ;_-[$$-409]* "-"??_ ;_-@_ </c:formatCode>
                <c:ptCount val="3"/>
                <c:pt idx="0">
                  <c:v>8750</c:v>
                </c:pt>
                <c:pt idx="1">
                  <c:v>10800</c:v>
                </c:pt>
                <c:pt idx="2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5-4C42-A708-D1957B22E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97120"/>
        <c:axId val="74995680"/>
      </c:lineChart>
      <c:catAx>
        <c:axId val="7499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95680"/>
        <c:crosses val="autoZero"/>
        <c:auto val="1"/>
        <c:lblAlgn val="ctr"/>
        <c:lblOffset val="100"/>
        <c:noMultiLvlLbl val="0"/>
      </c:catAx>
      <c:valAx>
        <c:axId val="7499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[Sales_Analysis_Excel.xlsx]Pivot_Product!Tabela dinâmica13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Total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Pivot_Product!$A$4:$A$11</c:f>
              <c:strCache>
                <c:ptCount val="7"/>
                <c:pt idx="0">
                  <c:v>Keyboard</c:v>
                </c:pt>
                <c:pt idx="1">
                  <c:v>Mouse</c:v>
                </c:pt>
                <c:pt idx="2">
                  <c:v>Monitor</c:v>
                </c:pt>
                <c:pt idx="3">
                  <c:v>Notebook</c:v>
                </c:pt>
                <c:pt idx="4">
                  <c:v>Desk</c:v>
                </c:pt>
                <c:pt idx="5">
                  <c:v>Chair</c:v>
                </c:pt>
                <c:pt idx="6">
                  <c:v>Noteboock</c:v>
                </c:pt>
              </c:strCache>
            </c:strRef>
          </c:cat>
          <c:val>
            <c:numRef>
              <c:f>Pivot_Product!$B$4:$B$11</c:f>
              <c:numCache>
                <c:formatCode>_-[$$-409]* #,##0.00_ ;_-[$$-409]* \-#,##0.00\ ;_-[$$-409]* "-"??_ ;_-@_ </c:formatCode>
                <c:ptCount val="7"/>
                <c:pt idx="0">
                  <c:v>450</c:v>
                </c:pt>
                <c:pt idx="1">
                  <c:v>1200</c:v>
                </c:pt>
                <c:pt idx="2">
                  <c:v>3300</c:v>
                </c:pt>
                <c:pt idx="3">
                  <c:v>3500</c:v>
                </c:pt>
                <c:pt idx="4">
                  <c:v>3600</c:v>
                </c:pt>
                <c:pt idx="5">
                  <c:v>3600</c:v>
                </c:pt>
                <c:pt idx="6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3-4A2E-8354-BAE8D34E3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9497648"/>
        <c:axId val="2109498128"/>
        <c:axId val="0"/>
      </c:bar3DChart>
      <c:catAx>
        <c:axId val="21094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9498128"/>
        <c:crosses val="autoZero"/>
        <c:auto val="1"/>
        <c:lblAlgn val="ctr"/>
        <c:lblOffset val="100"/>
        <c:noMultiLvlLbl val="0"/>
      </c:catAx>
      <c:valAx>
        <c:axId val="210949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94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[Sales_Analysis_Excel.xlsx]Pivot_Region!Tabela dinâmica14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Pivot_Region!$A$4:$A$7</c:f>
              <c:strCache>
                <c:ptCount val="3"/>
                <c:pt idx="0">
                  <c:v>Southeast</c:v>
                </c:pt>
                <c:pt idx="1">
                  <c:v>South</c:v>
                </c:pt>
                <c:pt idx="2">
                  <c:v>Northeats</c:v>
                </c:pt>
              </c:strCache>
            </c:strRef>
          </c:cat>
          <c:val>
            <c:numRef>
              <c:f>Pivot_Region!$B$4:$B$7</c:f>
              <c:numCache>
                <c:formatCode>_-[$$-409]* #,##0.00_ ;_-[$$-409]* \-#,##0.00\ ;_-[$$-409]* "-"??_ ;_-@_ </c:formatCode>
                <c:ptCount val="3"/>
                <c:pt idx="0">
                  <c:v>12050</c:v>
                </c:pt>
                <c:pt idx="1">
                  <c:v>7100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2-4FCC-A2D8-EB99A32CA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867056"/>
        <c:axId val="86865136"/>
        <c:axId val="0"/>
      </c:bar3DChart>
      <c:catAx>
        <c:axId val="8686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65136"/>
        <c:crosses val="autoZero"/>
        <c:auto val="1"/>
        <c:lblAlgn val="ctr"/>
        <c:lblOffset val="100"/>
        <c:noMultiLvlLbl val="0"/>
      </c:catAx>
      <c:valAx>
        <c:axId val="868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6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[Sales_Analysis_Excel.xlsx]Pivot_Month!Tabela dinâmica15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Pivot_Month!$A$4:$A$8</c:f>
              <c:multiLvlStrCache>
                <c:ptCount val="3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Pivot_Month!$B$4:$B$8</c:f>
              <c:numCache>
                <c:formatCode>_-[$$-409]* #,##0.00_ ;_-[$$-409]* \-#,##0.00\ ;_-[$$-409]* "-"??_ ;_-@_ </c:formatCode>
                <c:ptCount val="3"/>
                <c:pt idx="0">
                  <c:v>8750</c:v>
                </c:pt>
                <c:pt idx="1">
                  <c:v>10800</c:v>
                </c:pt>
                <c:pt idx="2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1-450B-A287-E63A4B21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97120"/>
        <c:axId val="74995680"/>
      </c:lineChart>
      <c:catAx>
        <c:axId val="7499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95680"/>
        <c:crosses val="autoZero"/>
        <c:auto val="1"/>
        <c:lblAlgn val="ctr"/>
        <c:lblOffset val="100"/>
        <c:noMultiLvlLbl val="0"/>
      </c:catAx>
      <c:valAx>
        <c:axId val="7499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171450</xdr:rowOff>
    </xdr:from>
    <xdr:to>
      <xdr:col>12</xdr:col>
      <xdr:colOff>601980</xdr:colOff>
      <xdr:row>20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F77F05-7BDE-8735-CD06-895DF8E45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179070</xdr:rowOff>
    </xdr:from>
    <xdr:to>
      <xdr:col>9</xdr:col>
      <xdr:colOff>312420</xdr:colOff>
      <xdr:row>16</xdr:row>
      <xdr:rowOff>179070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1BC388B-9CEA-A425-A33B-A5A34034A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1242060</xdr:colOff>
      <xdr:row>1</xdr:row>
      <xdr:rowOff>179070</xdr:rowOff>
    </xdr:from>
    <xdr:to>
      <xdr:col>13</xdr:col>
      <xdr:colOff>15240</xdr:colOff>
      <xdr:row>19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EA35F9-778A-65DA-4580-0EB4D3638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594360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D116FA-C070-41E4-9CCC-E70C943D7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2241</xdr:colOff>
      <xdr:row>0</xdr:row>
      <xdr:rowOff>17930</xdr:rowOff>
    </xdr:from>
    <xdr:to>
      <xdr:col>21</xdr:col>
      <xdr:colOff>573741</xdr:colOff>
      <xdr:row>17</xdr:row>
      <xdr:rowOff>173019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09E56A-B941-4C4A-99D8-F5AF7C10A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457200</xdr:colOff>
      <xdr:row>17</xdr:row>
      <xdr:rowOff>170329</xdr:rowOff>
    </xdr:from>
    <xdr:to>
      <xdr:col>16</xdr:col>
      <xdr:colOff>430306</xdr:colOff>
      <xdr:row>36</xdr:row>
      <xdr:rowOff>51771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3E6574-74DD-4447-AA4E-D89475221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Lima" refreshedDate="46033.909124768521" createdVersion="8" refreshedVersion="8" minRefreshableVersion="3" recordCount="11" xr:uid="{3B0F9DCE-4FE2-48DE-8C3F-B1BD468C1353}">
  <cacheSource type="worksheet">
    <worksheetSource ref="C1:J12" sheet="Raw_Data"/>
  </cacheSource>
  <cacheFields count="10">
    <cacheField name="Date" numFmtId="14">
      <sharedItems containsSemiMixedTypes="0" containsNonDate="0" containsDate="1" containsString="0" minDate="2024-01-05T00:00:00" maxDate="2024-03-16T00:00:00" count="11">
        <d v="2024-01-05T00:00:00"/>
        <d v="2024-01-08T00:00:00"/>
        <d v="2024-01-10T00:00:00"/>
        <d v="2024-01-15T00:00:00"/>
        <d v="2024-02-02T00:00:00"/>
        <d v="2024-02-05T00:00:00"/>
        <d v="2024-02-10T00:00:00"/>
        <d v="2024-02-18T00:00:00"/>
        <d v="2024-03-03T00:00:00"/>
        <d v="2024-03-07T00:00:00"/>
        <d v="2024-03-15T00:00:00"/>
      </sharedItems>
      <fieldGroup par="9"/>
    </cacheField>
    <cacheField name="Product" numFmtId="0">
      <sharedItems count="7">
        <s v="Noteboock"/>
        <s v="Mouse"/>
        <s v="Keyboard"/>
        <s v="Chair"/>
        <s v="Desk"/>
        <s v="Notebook"/>
        <s v="Monitor"/>
      </sharedItems>
    </cacheField>
    <cacheField name="Category" numFmtId="0">
      <sharedItems/>
    </cacheField>
    <cacheField name="Region" numFmtId="0">
      <sharedItems count="3">
        <s v="Southeast"/>
        <s v="South"/>
        <s v="Northeat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164">
      <sharedItems containsSemiMixedTypes="0" containsString="0" containsNumber="1" containsInteger="1" minValue="80" maxValue="3500"/>
    </cacheField>
    <cacheField name="Total_Sales" numFmtId="164">
      <sharedItems containsSemiMixedTypes="0" containsString="0" containsNumber="1" containsInteger="1" minValue="400" maxValue="7000" count="11">
        <n v="7000"/>
        <n v="400"/>
        <n v="450"/>
        <n v="900"/>
        <n v="2400"/>
        <n v="3500"/>
        <n v="2200"/>
        <n v="2700"/>
        <n v="1200"/>
        <n v="800"/>
        <n v="1100"/>
      </sharedItems>
    </cacheField>
    <cacheField name="Total_Invoicing" numFmtId="0">
      <sharedItems containsString="0" containsBlank="1" containsNumber="1" containsInteger="1" minValue="22650" maxValue="22650"/>
    </cacheField>
    <cacheField name="Meses (Date)" numFmtId="0" databaseField="0">
      <fieldGroup base="0">
        <rangePr groupBy="months" startDate="2024-01-05T00:00:00" endDate="2024-03-16T00:00:00"/>
        <groupItems count="14">
          <s v="&lt;05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3/2024"/>
        </groupItems>
      </fieldGroup>
    </cacheField>
    <cacheField name="Anos (Date)" numFmtId="0" databaseField="0">
      <fieldGroup base="0">
        <rangePr groupBy="years" startDate="2024-01-05T00:00:00" endDate="2024-03-16T00:00:00"/>
        <groupItems count="3">
          <s v="&lt;05/01/2024"/>
          <s v="2024"/>
          <s v="&gt;16/0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s v="Electronics"/>
    <x v="0"/>
    <n v="2"/>
    <n v="3500"/>
    <x v="0"/>
    <n v="22650"/>
  </r>
  <r>
    <x v="1"/>
    <x v="1"/>
    <s v="Electronics"/>
    <x v="1"/>
    <n v="5"/>
    <n v="80"/>
    <x v="1"/>
    <m/>
  </r>
  <r>
    <x v="2"/>
    <x v="2"/>
    <s v="Electronics"/>
    <x v="0"/>
    <n v="3"/>
    <n v="150"/>
    <x v="2"/>
    <m/>
  </r>
  <r>
    <x v="3"/>
    <x v="3"/>
    <s v="Furniture"/>
    <x v="1"/>
    <n v="1"/>
    <n v="900"/>
    <x v="3"/>
    <m/>
  </r>
  <r>
    <x v="4"/>
    <x v="4"/>
    <s v="Furniture"/>
    <x v="0"/>
    <n v="2"/>
    <n v="1200"/>
    <x v="4"/>
    <m/>
  </r>
  <r>
    <x v="5"/>
    <x v="5"/>
    <s v="Electronics"/>
    <x v="1"/>
    <n v="1"/>
    <n v="3500"/>
    <x v="5"/>
    <m/>
  </r>
  <r>
    <x v="6"/>
    <x v="6"/>
    <s v="Electronics"/>
    <x v="0"/>
    <n v="2"/>
    <n v="1100"/>
    <x v="6"/>
    <m/>
  </r>
  <r>
    <x v="7"/>
    <x v="3"/>
    <s v="Furniture"/>
    <x v="2"/>
    <n v="3"/>
    <n v="900"/>
    <x v="7"/>
    <m/>
  </r>
  <r>
    <x v="8"/>
    <x v="4"/>
    <s v="Furniture"/>
    <x v="1"/>
    <n v="1"/>
    <n v="1200"/>
    <x v="8"/>
    <m/>
  </r>
  <r>
    <x v="9"/>
    <x v="1"/>
    <s v="Electronics"/>
    <x v="2"/>
    <n v="10"/>
    <n v="80"/>
    <x v="9"/>
    <m/>
  </r>
  <r>
    <x v="10"/>
    <x v="6"/>
    <s v="Electronics"/>
    <x v="1"/>
    <n v="1"/>
    <n v="1100"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FBEC8-5EA7-41AE-AFD2-F901FC5ED5B7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A3:B11" firstHeaderRow="1" firstDataRow="1" firstDataCol="1"/>
  <pivotFields count="10">
    <pivotField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 sortType="ascending">
      <items count="8">
        <item x="3"/>
        <item x="4"/>
        <item x="2"/>
        <item x="6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>
      <items count="12">
        <item x="1"/>
        <item x="2"/>
        <item x="9"/>
        <item x="3"/>
        <item x="10"/>
        <item x="8"/>
        <item x="6"/>
        <item x="4"/>
        <item x="7"/>
        <item x="5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8">
    <i>
      <x v="2"/>
    </i>
    <i>
      <x v="4"/>
    </i>
    <i>
      <x v="3"/>
    </i>
    <i>
      <x v="6"/>
    </i>
    <i>
      <x v="1"/>
    </i>
    <i>
      <x/>
    </i>
    <i>
      <x v="5"/>
    </i>
    <i t="grand">
      <x/>
    </i>
  </rowItems>
  <colItems count="1">
    <i/>
  </colItems>
  <dataFields count="1">
    <dataField name="Soma de Total_Sales" fld="6" baseField="0" baseItem="0" numFmtId="164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BB67D-0457-4A69-BE5C-698CE76483A0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0">
    <pivotField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Row" showAll="0" sortType="descending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_Sales" fld="6" baseField="0" baseItem="0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B368D-3164-42F9-AE4A-0F468F32A321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10">
    <pivotField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9"/>
    <field x="8"/>
  </rowFields>
  <rowItems count="5"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Soma de Total_Sales" fld="6" baseField="0" baseItem="0" numFmtId="164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3349-8E3F-4B2A-AD74-25AF0FD3A1F8}">
  <dimension ref="A1:K12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43.77734375" bestFit="1" customWidth="1"/>
    <col min="2" max="3" width="10.33203125" bestFit="1" customWidth="1"/>
    <col min="4" max="4" width="9.77734375" bestFit="1" customWidth="1"/>
    <col min="5" max="5" width="10" bestFit="1" customWidth="1"/>
    <col min="6" max="6" width="9" bestFit="1" customWidth="1"/>
    <col min="7" max="7" width="7.6640625" bestFit="1" customWidth="1"/>
    <col min="8" max="8" width="10.109375" bestFit="1" customWidth="1"/>
    <col min="9" max="9" width="11.109375" bestFit="1" customWidth="1"/>
    <col min="10" max="10" width="12.6640625" bestFit="1" customWidth="1"/>
  </cols>
  <sheetData>
    <row r="1" spans="1:11" x14ac:dyDescent="0.3">
      <c r="A1" t="s">
        <v>0</v>
      </c>
      <c r="C1" s="2" t="s">
        <v>12</v>
      </c>
      <c r="D1" s="2" t="s">
        <v>13</v>
      </c>
      <c r="E1" s="2" t="s">
        <v>20</v>
      </c>
      <c r="F1" s="2" t="s">
        <v>23</v>
      </c>
      <c r="G1" s="2" t="s">
        <v>26</v>
      </c>
      <c r="H1" s="2" t="s">
        <v>27</v>
      </c>
      <c r="I1" s="2" t="s">
        <v>30</v>
      </c>
      <c r="J1" s="2" t="s">
        <v>31</v>
      </c>
    </row>
    <row r="2" spans="1:11" x14ac:dyDescent="0.3">
      <c r="A2" t="s">
        <v>1</v>
      </c>
      <c r="C2" s="3">
        <v>45296</v>
      </c>
      <c r="D2" s="2" t="s">
        <v>28</v>
      </c>
      <c r="E2" s="2" t="s">
        <v>21</v>
      </c>
      <c r="F2" s="2" t="s">
        <v>24</v>
      </c>
      <c r="G2" s="2">
        <v>2</v>
      </c>
      <c r="H2" s="4">
        <v>3500</v>
      </c>
      <c r="I2" s="4">
        <f>PRODUCT(G2:H2)</f>
        <v>7000</v>
      </c>
      <c r="J2" s="6">
        <f>SUM(I2:I12)</f>
        <v>44250</v>
      </c>
    </row>
    <row r="3" spans="1:11" x14ac:dyDescent="0.3">
      <c r="A3" t="s">
        <v>2</v>
      </c>
      <c r="C3" s="3">
        <v>45299</v>
      </c>
      <c r="D3" s="2" t="s">
        <v>15</v>
      </c>
      <c r="E3" s="2" t="s">
        <v>21</v>
      </c>
      <c r="F3" s="2" t="s">
        <v>25</v>
      </c>
      <c r="G3" s="2">
        <v>5</v>
      </c>
      <c r="H3" s="4">
        <v>80</v>
      </c>
      <c r="I3" s="4">
        <f t="shared" ref="I3:I12" si="0">PRODUCT(G3:H3)</f>
        <v>400</v>
      </c>
    </row>
    <row r="4" spans="1:11" x14ac:dyDescent="0.3">
      <c r="A4" t="s">
        <v>3</v>
      </c>
      <c r="C4" s="3">
        <v>45301</v>
      </c>
      <c r="D4" s="2" t="s">
        <v>16</v>
      </c>
      <c r="E4" s="2" t="s">
        <v>21</v>
      </c>
      <c r="F4" s="2" t="s">
        <v>24</v>
      </c>
      <c r="G4" s="2">
        <v>3</v>
      </c>
      <c r="H4" s="4">
        <v>150</v>
      </c>
      <c r="I4" s="4">
        <f t="shared" si="0"/>
        <v>450</v>
      </c>
    </row>
    <row r="5" spans="1:11" x14ac:dyDescent="0.3">
      <c r="A5" t="s">
        <v>4</v>
      </c>
      <c r="C5" s="3">
        <v>45306</v>
      </c>
      <c r="D5" s="2" t="s">
        <v>17</v>
      </c>
      <c r="E5" s="2" t="s">
        <v>22</v>
      </c>
      <c r="F5" s="2" t="s">
        <v>25</v>
      </c>
      <c r="G5" s="2">
        <v>1</v>
      </c>
      <c r="H5" s="4">
        <v>900</v>
      </c>
      <c r="I5" s="4">
        <f t="shared" si="0"/>
        <v>900</v>
      </c>
    </row>
    <row r="6" spans="1:11" x14ac:dyDescent="0.3">
      <c r="A6" t="s">
        <v>5</v>
      </c>
      <c r="C6" s="3">
        <v>45324</v>
      </c>
      <c r="D6" s="2" t="s">
        <v>18</v>
      </c>
      <c r="E6" s="2" t="s">
        <v>22</v>
      </c>
      <c r="F6" s="2" t="s">
        <v>24</v>
      </c>
      <c r="G6" s="2">
        <v>20</v>
      </c>
      <c r="H6" s="4">
        <v>1200</v>
      </c>
      <c r="I6" s="4">
        <f t="shared" si="0"/>
        <v>24000</v>
      </c>
    </row>
    <row r="7" spans="1:11" x14ac:dyDescent="0.3">
      <c r="A7" t="s">
        <v>6</v>
      </c>
      <c r="C7" s="3">
        <v>45327</v>
      </c>
      <c r="D7" s="2" t="s">
        <v>14</v>
      </c>
      <c r="E7" s="2" t="s">
        <v>21</v>
      </c>
      <c r="F7" s="2" t="s">
        <v>25</v>
      </c>
      <c r="G7" s="2">
        <v>1</v>
      </c>
      <c r="H7" s="4">
        <v>3500</v>
      </c>
      <c r="I7" s="4">
        <f t="shared" si="0"/>
        <v>3500</v>
      </c>
    </row>
    <row r="8" spans="1:11" x14ac:dyDescent="0.3">
      <c r="A8" t="s">
        <v>7</v>
      </c>
      <c r="C8" s="3">
        <v>45332</v>
      </c>
      <c r="D8" s="2" t="s">
        <v>19</v>
      </c>
      <c r="E8" s="2" t="s">
        <v>21</v>
      </c>
      <c r="F8" s="2" t="s">
        <v>24</v>
      </c>
      <c r="G8" s="2">
        <v>2</v>
      </c>
      <c r="H8" s="4">
        <v>1100</v>
      </c>
      <c r="I8" s="4">
        <f t="shared" si="0"/>
        <v>2200</v>
      </c>
      <c r="K8" s="5"/>
    </row>
    <row r="9" spans="1:11" x14ac:dyDescent="0.3">
      <c r="A9" t="s">
        <v>8</v>
      </c>
      <c r="C9" s="3">
        <v>45340</v>
      </c>
      <c r="D9" s="2" t="s">
        <v>17</v>
      </c>
      <c r="E9" s="2" t="s">
        <v>22</v>
      </c>
      <c r="F9" s="2" t="s">
        <v>29</v>
      </c>
      <c r="G9" s="2">
        <v>3</v>
      </c>
      <c r="H9" s="4">
        <v>900</v>
      </c>
      <c r="I9" s="4">
        <f t="shared" si="0"/>
        <v>2700</v>
      </c>
    </row>
    <row r="10" spans="1:11" x14ac:dyDescent="0.3">
      <c r="A10" t="s">
        <v>9</v>
      </c>
      <c r="C10" s="3">
        <v>45354</v>
      </c>
      <c r="D10" s="2" t="s">
        <v>18</v>
      </c>
      <c r="E10" s="2" t="s">
        <v>22</v>
      </c>
      <c r="F10" s="2" t="s">
        <v>25</v>
      </c>
      <c r="G10" s="2">
        <v>1</v>
      </c>
      <c r="H10" s="4">
        <v>1200</v>
      </c>
      <c r="I10" s="4">
        <f t="shared" si="0"/>
        <v>1200</v>
      </c>
    </row>
    <row r="11" spans="1:11" x14ac:dyDescent="0.3">
      <c r="A11" t="s">
        <v>10</v>
      </c>
      <c r="C11" s="3">
        <v>45358</v>
      </c>
      <c r="D11" s="2" t="s">
        <v>15</v>
      </c>
      <c r="E11" s="2" t="s">
        <v>21</v>
      </c>
      <c r="F11" s="2" t="s">
        <v>29</v>
      </c>
      <c r="G11" s="2">
        <v>10</v>
      </c>
      <c r="H11" s="4">
        <v>80</v>
      </c>
      <c r="I11" s="4">
        <f t="shared" si="0"/>
        <v>800</v>
      </c>
    </row>
    <row r="12" spans="1:11" x14ac:dyDescent="0.3">
      <c r="A12" t="s">
        <v>11</v>
      </c>
      <c r="C12" s="3">
        <v>45366</v>
      </c>
      <c r="D12" s="2" t="s">
        <v>19</v>
      </c>
      <c r="E12" s="2" t="s">
        <v>21</v>
      </c>
      <c r="F12" s="2" t="s">
        <v>25</v>
      </c>
      <c r="G12" s="2">
        <v>1</v>
      </c>
      <c r="H12" s="4">
        <v>1100</v>
      </c>
      <c r="I12" s="4">
        <f t="shared" si="0"/>
        <v>1100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43D2-9193-40CF-9459-7D31AD011307}">
  <dimension ref="A3:B11"/>
  <sheetViews>
    <sheetView workbookViewId="0">
      <selection activeCell="C27" sqref="C27"/>
    </sheetView>
  </sheetViews>
  <sheetFormatPr defaultRowHeight="14.4" x14ac:dyDescent="0.3"/>
  <cols>
    <col min="1" max="1" width="16.77734375" bestFit="1" customWidth="1"/>
    <col min="2" max="2" width="18.21875" bestFit="1" customWidth="1"/>
  </cols>
  <sheetData>
    <row r="3" spans="1:2" x14ac:dyDescent="0.3">
      <c r="A3" s="7" t="s">
        <v>32</v>
      </c>
      <c r="B3" t="s">
        <v>34</v>
      </c>
    </row>
    <row r="4" spans="1:2" x14ac:dyDescent="0.3">
      <c r="A4" s="8" t="s">
        <v>16</v>
      </c>
      <c r="B4" s="1">
        <v>450</v>
      </c>
    </row>
    <row r="5" spans="1:2" x14ac:dyDescent="0.3">
      <c r="A5" s="8" t="s">
        <v>15</v>
      </c>
      <c r="B5" s="1">
        <v>1200</v>
      </c>
    </row>
    <row r="6" spans="1:2" x14ac:dyDescent="0.3">
      <c r="A6" s="8" t="s">
        <v>19</v>
      </c>
      <c r="B6" s="1">
        <v>3300</v>
      </c>
    </row>
    <row r="7" spans="1:2" x14ac:dyDescent="0.3">
      <c r="A7" s="8" t="s">
        <v>14</v>
      </c>
      <c r="B7" s="1">
        <v>3500</v>
      </c>
    </row>
    <row r="8" spans="1:2" x14ac:dyDescent="0.3">
      <c r="A8" s="8" t="s">
        <v>18</v>
      </c>
      <c r="B8" s="1">
        <v>3600</v>
      </c>
    </row>
    <row r="9" spans="1:2" x14ac:dyDescent="0.3">
      <c r="A9" s="8" t="s">
        <v>17</v>
      </c>
      <c r="B9" s="1">
        <v>3600</v>
      </c>
    </row>
    <row r="10" spans="1:2" x14ac:dyDescent="0.3">
      <c r="A10" s="8" t="s">
        <v>28</v>
      </c>
      <c r="B10" s="1">
        <v>7000</v>
      </c>
    </row>
    <row r="11" spans="1:2" x14ac:dyDescent="0.3">
      <c r="A11" s="8" t="s">
        <v>33</v>
      </c>
      <c r="B11" s="1">
        <v>22650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3748-1B91-4A4C-8B3F-27659E252F96}">
  <dimension ref="A3:B7"/>
  <sheetViews>
    <sheetView workbookViewId="0">
      <selection activeCell="A4" sqref="A4"/>
    </sheetView>
  </sheetViews>
  <sheetFormatPr defaultRowHeight="14.4" x14ac:dyDescent="0.3"/>
  <cols>
    <col min="1" max="1" width="16.77734375" bestFit="1" customWidth="1"/>
    <col min="2" max="2" width="18.21875" bestFit="1" customWidth="1"/>
  </cols>
  <sheetData>
    <row r="3" spans="1:2" x14ac:dyDescent="0.3">
      <c r="A3" s="7" t="s">
        <v>32</v>
      </c>
      <c r="B3" t="s">
        <v>34</v>
      </c>
    </row>
    <row r="4" spans="1:2" x14ac:dyDescent="0.3">
      <c r="A4" s="8" t="s">
        <v>24</v>
      </c>
      <c r="B4" s="1">
        <v>12050</v>
      </c>
    </row>
    <row r="5" spans="1:2" x14ac:dyDescent="0.3">
      <c r="A5" s="8" t="s">
        <v>25</v>
      </c>
      <c r="B5" s="1">
        <v>7100</v>
      </c>
    </row>
    <row r="6" spans="1:2" x14ac:dyDescent="0.3">
      <c r="A6" s="8" t="s">
        <v>29</v>
      </c>
      <c r="B6" s="1">
        <v>3500</v>
      </c>
    </row>
    <row r="7" spans="1:2" x14ac:dyDescent="0.3">
      <c r="A7" s="8" t="s">
        <v>33</v>
      </c>
      <c r="B7" s="1">
        <v>22650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AC54-ACE1-42A1-B14F-2C6667EA9E69}">
  <dimension ref="A3:B8"/>
  <sheetViews>
    <sheetView workbookViewId="0">
      <selection activeCell="B16" sqref="B16"/>
    </sheetView>
  </sheetViews>
  <sheetFormatPr defaultRowHeight="14.4" x14ac:dyDescent="0.3"/>
  <cols>
    <col min="1" max="1" width="16.77734375" bestFit="1" customWidth="1"/>
    <col min="2" max="2" width="18.21875" bestFit="1" customWidth="1"/>
  </cols>
  <sheetData>
    <row r="3" spans="1:2" x14ac:dyDescent="0.3">
      <c r="A3" s="7" t="s">
        <v>32</v>
      </c>
      <c r="B3" t="s">
        <v>34</v>
      </c>
    </row>
    <row r="4" spans="1:2" x14ac:dyDescent="0.3">
      <c r="A4" s="8" t="s">
        <v>38</v>
      </c>
      <c r="B4" s="1">
        <v>22650</v>
      </c>
    </row>
    <row r="5" spans="1:2" x14ac:dyDescent="0.3">
      <c r="A5" s="9" t="s">
        <v>35</v>
      </c>
      <c r="B5" s="1">
        <v>8750</v>
      </c>
    </row>
    <row r="6" spans="1:2" x14ac:dyDescent="0.3">
      <c r="A6" s="9" t="s">
        <v>36</v>
      </c>
      <c r="B6" s="1">
        <v>10800</v>
      </c>
    </row>
    <row r="7" spans="1:2" x14ac:dyDescent="0.3">
      <c r="A7" s="9" t="s">
        <v>37</v>
      </c>
      <c r="B7" s="1">
        <v>3100</v>
      </c>
    </row>
    <row r="8" spans="1:2" x14ac:dyDescent="0.3">
      <c r="A8" s="8" t="s">
        <v>33</v>
      </c>
      <c r="B8" s="1">
        <v>22650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6142-FEB0-43D9-B8F1-C4AC728222F3}">
  <dimension ref="A1"/>
  <sheetViews>
    <sheetView zoomScale="85" zoomScaleNormal="85" workbookViewId="0">
      <selection activeCell="S29" sqref="S29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0BF7-6D60-4759-B154-A3498D58164C}">
  <dimension ref="A1:A18"/>
  <sheetViews>
    <sheetView workbookViewId="0">
      <selection activeCell="H22" sqref="H22"/>
    </sheetView>
  </sheetViews>
  <sheetFormatPr defaultRowHeight="14.4" x14ac:dyDescent="0.3"/>
  <sheetData>
    <row r="1" spans="1:1" ht="18" x14ac:dyDescent="0.3">
      <c r="A1" s="10" t="s">
        <v>39</v>
      </c>
    </row>
    <row r="2" spans="1:1" x14ac:dyDescent="0.3">
      <c r="A2" s="11"/>
    </row>
    <row r="3" spans="1:1" x14ac:dyDescent="0.3">
      <c r="A3" s="12" t="s">
        <v>40</v>
      </c>
    </row>
    <row r="4" spans="1:1" x14ac:dyDescent="0.3">
      <c r="A4" s="11" t="s">
        <v>41</v>
      </c>
    </row>
    <row r="6" spans="1:1" ht="18" x14ac:dyDescent="0.3">
      <c r="A6" s="10" t="s">
        <v>42</v>
      </c>
    </row>
    <row r="7" spans="1:1" x14ac:dyDescent="0.3">
      <c r="A7" s="11"/>
    </row>
    <row r="8" spans="1:1" x14ac:dyDescent="0.3">
      <c r="A8" s="12" t="s">
        <v>43</v>
      </c>
    </row>
    <row r="9" spans="1:1" x14ac:dyDescent="0.3">
      <c r="A9" s="11" t="s">
        <v>44</v>
      </c>
    </row>
    <row r="11" spans="1:1" ht="18" x14ac:dyDescent="0.3">
      <c r="A11" s="10" t="s">
        <v>45</v>
      </c>
    </row>
    <row r="12" spans="1:1" x14ac:dyDescent="0.3">
      <c r="A12" s="11"/>
    </row>
    <row r="13" spans="1:1" x14ac:dyDescent="0.3">
      <c r="A13" s="12" t="s">
        <v>46</v>
      </c>
    </row>
    <row r="14" spans="1:1" x14ac:dyDescent="0.3">
      <c r="A14" s="11" t="s">
        <v>47</v>
      </c>
    </row>
    <row r="16" spans="1:1" ht="18" x14ac:dyDescent="0.3">
      <c r="A16" s="10" t="s">
        <v>48</v>
      </c>
    </row>
    <row r="17" spans="1:1" x14ac:dyDescent="0.3">
      <c r="A17" s="11"/>
    </row>
    <row r="18" spans="1:1" x14ac:dyDescent="0.3">
      <c r="A18" s="12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Raw_Data</vt:lpstr>
      <vt:lpstr>Pivot_Product</vt:lpstr>
      <vt:lpstr>Pivot_Region</vt:lpstr>
      <vt:lpstr>Pivot_Month</vt:lpstr>
      <vt:lpstr>Dashboard</vt:lpstr>
      <vt:lpstr>INSIGHTS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Paschoal</dc:creator>
  <cp:lastModifiedBy>Matheus Paschoal</cp:lastModifiedBy>
  <dcterms:created xsi:type="dcterms:W3CDTF">2026-01-12T00:14:19Z</dcterms:created>
  <dcterms:modified xsi:type="dcterms:W3CDTF">2026-01-13T00:20:06Z</dcterms:modified>
</cp:coreProperties>
</file>